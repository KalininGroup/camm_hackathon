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4006FC9F-280A-4D7B-BC81-F9A2243C0C1C}" xr6:coauthVersionLast="47" xr6:coauthVersionMax="47" xr10:uidLastSave="{00000000-0000-0000-0000-000000000000}"/>
  <bookViews>
    <workbookView xWindow="-98" yWindow="-98" windowWidth="20715" windowHeight="13276" xr2:uid="{7F630B03-BF3C-4EEB-9B86-C62BFEAD5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1" l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<sst xmlns="http://schemas.openxmlformats.org/spreadsheetml/2006/main" count="118" uniqueCount="117">
  <si>
    <t>La2Ce2O7</t>
  </si>
  <si>
    <t>Pr6UO12</t>
  </si>
  <si>
    <t>Sm6UO12</t>
  </si>
  <si>
    <t>La</t>
  </si>
  <si>
    <t>Ce</t>
  </si>
  <si>
    <t>Pr</t>
  </si>
  <si>
    <t>Nd</t>
  </si>
  <si>
    <t>Tb</t>
  </si>
  <si>
    <t>Dy</t>
  </si>
  <si>
    <t>Er</t>
  </si>
  <si>
    <t>Y3Al5O12</t>
  </si>
  <si>
    <t>Y2SiO5</t>
  </si>
  <si>
    <t>Yb2SiO5</t>
  </si>
  <si>
    <t>Nd2Ce2O7</t>
  </si>
  <si>
    <t>Sm2YbTaO7</t>
  </si>
  <si>
    <t>Sm2YTaO7</t>
  </si>
  <si>
    <t>LiAlSi2O6</t>
  </si>
  <si>
    <t>LiAlSiO4</t>
  </si>
  <si>
    <t>Mg2Al4Si5O18</t>
  </si>
  <si>
    <t>LiAlSi4O10</t>
  </si>
  <si>
    <t>Be3Al2Si6O18</t>
  </si>
  <si>
    <t>NaZr2P3O12</t>
  </si>
  <si>
    <t>CaZr4P6O24</t>
  </si>
  <si>
    <t>CaTi4P6O24</t>
  </si>
  <si>
    <t>CaTi2Zr2P6O24</t>
  </si>
  <si>
    <t>NaTi2P3O12</t>
  </si>
  <si>
    <t>Na3Cr2P3O12</t>
  </si>
  <si>
    <t>SrZr4P6O24</t>
  </si>
  <si>
    <t>BaZr4P6O24</t>
  </si>
  <si>
    <t>Ca0.5NaZr4P6O24</t>
  </si>
  <si>
    <t>Ca0.5NaTi4P6O24</t>
  </si>
  <si>
    <t>Na1.5Zr1.5Cr0.5P3O12</t>
  </si>
  <si>
    <t>Ca0.75Sr0.25Zr4P6O24</t>
  </si>
  <si>
    <t>Ca0.5Sr0.5Zr4P6O24</t>
  </si>
  <si>
    <t>Ca0.25Sr0.75Zr4P6O24</t>
  </si>
  <si>
    <t>MgZr4P6O24</t>
  </si>
  <si>
    <t>Mg1.546Fe0.454Al4Si5O18</t>
  </si>
  <si>
    <t>MgMnAl4Si5O18</t>
  </si>
  <si>
    <t>Mg2Al3.4Ga0.6Si5O18</t>
  </si>
  <si>
    <t>SiO2</t>
  </si>
  <si>
    <t>Gd</t>
  </si>
  <si>
    <t>Yb</t>
  </si>
  <si>
    <t>Yb3Al5O12</t>
  </si>
  <si>
    <t>Composition</t>
  </si>
  <si>
    <t>Y0.5Yb0.5Ta0.5Nb0.5ZrO7</t>
  </si>
  <si>
    <t>Y0.4175Yb0.4175Ta0.4175Nb0.4175ZrO6.67</t>
  </si>
  <si>
    <t>Al2O3Y0.6Er0.6Yb0.6Ho0.6Lu0.6Al5O12</t>
  </si>
  <si>
    <t>La0.4Nd0.4Sm0.4Eu0.4Gd0.4Zr2O7</t>
  </si>
  <si>
    <t>Y0.6Dy0.6Ho0.6Er0.6Yb0.6Al5O12</t>
  </si>
  <si>
    <t>Y0.6Yb0.6Lu0.6Eu0.6Er0.6Al5O12</t>
  </si>
  <si>
    <t>Ho0.5Lu0.5Yb0.5Eu0.5SiO5</t>
  </si>
  <si>
    <t>Gd0.4Nd0.4Sm0.4Y0.4Yb0.4Zr2O7</t>
  </si>
  <si>
    <t>Eu0.6Gd0.6Dy0.6Er0.6Y0.6Fe5O12</t>
  </si>
  <si>
    <t>Gd0.4Sm0.4Nd0.4Yb0.4Y0.4Zr2O7</t>
  </si>
  <si>
    <t>La0.4Nd0.4Sm0.4Gd0.4Yb0.4Zr2O7</t>
  </si>
  <si>
    <t>Al2O3Y3Al5O12</t>
  </si>
  <si>
    <t>Y.286La.286Nd.286Sm.286Gd.286Yb.286Lu.286O3</t>
  </si>
  <si>
    <t>Y.25La.25Nd.25Sm.25Gd.25Yb.25Lu.25Ce.25O3</t>
  </si>
  <si>
    <t>Y.2La.2Nd.2Sm.2Gd.2Yb.2Lu.2Ce.2Zr.2Hf.2O3</t>
  </si>
  <si>
    <t>LaNdCe2O7</t>
  </si>
  <si>
    <t>La.666Nd.666Sm.666Ce2O7</t>
  </si>
  <si>
    <t>La.5Nd.5Sm.5Eu.5Ce2O7</t>
  </si>
  <si>
    <t>La.4Nd.4Sm.4Eu.4Gd.4Ce2O7</t>
  </si>
  <si>
    <t>Y0.4Gd0.4Er0.4Yb0.4Lu0.4Zr2O7</t>
  </si>
  <si>
    <t>La0.03045Gd0.03045Y0.03045Sm0.03045Yb0.6Zr2O7</t>
  </si>
  <si>
    <t>Y0.2Nd0.2Sm0.2Eu0.2Er0.2AlO3</t>
  </si>
  <si>
    <t>La0.4Nd0.4Gd0.4Ho0.4Y0.4Zr2O7</t>
  </si>
  <si>
    <t>La0.4Nd0.4Gd0.4Ho0.4Y0.4Zr1.5Ce0.5O7</t>
  </si>
  <si>
    <t>Dy0.167Ho0.167Er0.167Tm0.167Yb0.167Y0.167PO4</t>
  </si>
  <si>
    <t>Y1.6Yb0.4SiO5</t>
  </si>
  <si>
    <t>Y1.2Yb0.8SiO5</t>
  </si>
  <si>
    <t>Y0.8Yb1.2SiO5</t>
  </si>
  <si>
    <t>Y0.4Yb1.6SiO5</t>
  </si>
  <si>
    <t>Lu0.4Yb0.4Er0.4Ho0.4Y0.4SiO5</t>
  </si>
  <si>
    <t>Yb0.4Er0.4Ho0.4Y0.4Dy0.4SiO5</t>
  </si>
  <si>
    <t>Lu0.4Yb0.4Er0.4Y0.4Gd0.4SiO5</t>
  </si>
  <si>
    <t>Yb0.4Er0.4Y0.4Dy0.4Gd0.4SiO5</t>
  </si>
  <si>
    <t>Y0.4Ho0.4Er0.4Yb0.4Mg0.4Zr2O7</t>
  </si>
  <si>
    <t>La0.4Nd0.4Sm0.4Gd0.4Ca0.4Zr2O7</t>
  </si>
  <si>
    <t>Lu.4Y.4Ho.4Nd.4La.4O3</t>
  </si>
  <si>
    <t>Gd.4Sm.4Eu.4Nd.4LaO3</t>
  </si>
  <si>
    <t>Y.4La.4Ce.4Nd.4Gd.4O3</t>
  </si>
  <si>
    <t>Y0.16Zr0.84O1.92</t>
  </si>
  <si>
    <t>La0.4Sm0.4Er0.4Yb0.4Y0.4O3</t>
  </si>
  <si>
    <t>La0.4Sm0.4Er0.4Yb0.4Y0.4Ce0.4O3.8</t>
  </si>
  <si>
    <t>LaSrCo.2Fe.2Ga.2Mn.2Ni.2O4</t>
  </si>
  <si>
    <t>PrSrCo.2Fe.2Ga.2Mn.2Ni.2O4</t>
  </si>
  <si>
    <t>NdSrCo.2Fe.2Ga.2Mn.2Ni.2O4</t>
  </si>
  <si>
    <t>SmSrCo.2Fe.2Ga.2Mn.2Ni.2O4</t>
  </si>
  <si>
    <t>GdSrCo.2Fe.2Ga.2Mn.2Ni.2O4</t>
  </si>
  <si>
    <t>Gd0.75Ho0.75Er0.75Yb0.75NbO7</t>
  </si>
  <si>
    <t>Ho0.99Er0.99Yb0.99NbO7</t>
  </si>
  <si>
    <t>La0.4Y0.4Sm0.4Eu0.4Gd0.4Zr2O7</t>
  </si>
  <si>
    <t>Sc.4Y.4Dy.4Er.4Yb.4SiO5</t>
  </si>
  <si>
    <t>DyErSiO5</t>
  </si>
  <si>
    <t>La0.4Pr0.4Nd0.4Yb0.4Lu0.4GdTaO7</t>
  </si>
  <si>
    <t>Gd0.4Dy0.4Y0.4Yb0.4Lu0.4GdTaO7</t>
  </si>
  <si>
    <t>La3.2Nd3.2Y3.2Sm3.2Lu3.2Yb3.2Ce2O7</t>
  </si>
  <si>
    <t>La0.4Sm0.4Er0.4Yb0.4Y0.4Ce1.2O5.4</t>
  </si>
  <si>
    <t>La0.4Sm0.4Er0.4Yb0.4Y0.4Ce2.0O7.0</t>
  </si>
  <si>
    <t>La0.4Sm0.4Er0.4Yb0.4Y0.4Ce2.8O8.6</t>
  </si>
  <si>
    <t>La0.4Sm0.4Er0.4Yb0.4Y0.4Ce3.6O10.2</t>
  </si>
  <si>
    <t>La0.4Sm0.4Er0.4Yb0.4Y0.4Ce4.4O11.8</t>
  </si>
  <si>
    <t>La0.4Nd0.4Sm0.4Gd0.4Dy0.4Ce2O7</t>
  </si>
  <si>
    <t>La0.4Nd0.4Sm0.4Gd0.4Yb0.4Ce2O7</t>
  </si>
  <si>
    <t>La0.4Nd0.4Sm0.4Yb0.4Dy0.4Ce2O7</t>
  </si>
  <si>
    <t>La0.4Nd0.4Yb0.4Gd0.4Dy0.4Ce2O7</t>
  </si>
  <si>
    <t>La0.4Yb0.4Sm0.4Gd0.4Dy0.4Ce2O7</t>
  </si>
  <si>
    <t>Ce0.4Nd0.4Sm0.4Eu0.4Yb0.4Zr2O7</t>
  </si>
  <si>
    <t>La0.4Ce0.4Pr0.4Nd0.4Gd0.4Hf2O7</t>
  </si>
  <si>
    <t>Nd0.4Gd0.4Y0.4Er0.4Yb0.4Zr2O7</t>
  </si>
  <si>
    <t>Y0.4Sm0.4Eu0.4Er0.4Yb0.4Zr2O7</t>
  </si>
  <si>
    <t>Nd0.4Sm0.4Gd0.4Ho0.4Er0.4Zr2O7</t>
  </si>
  <si>
    <t>La0.4Nd0.4Sm0.4Gd0.4Ho0.4Zr2O7</t>
  </si>
  <si>
    <t>La0.4Nd0.4Sm0.4Gd0.4Er0.4Zr2O7</t>
  </si>
  <si>
    <t>Nd1.16Gd0.1Y0.1Er0.1Yb0.54Zr2O7</t>
  </si>
  <si>
    <t>CTE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</si>
</sst>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rgb="FF131314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AF3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2" borderId="0" xfId="0" applyFill="1"/>
    <xf numFmtId="0" fontId="0" fillId="0" borderId="0" xfId="0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B134-B4EF-4E16-B910-1BBFAE8F96EC}">
  <dimension ref="A1:C152"/>
  <sheetViews>
    <sheetView tabSelected="1" topLeftCell="A105" workbookViewId="0">
      <selection activeCell="A118" sqref="A118:B152"/>
    </sheetView>
  </sheetViews>
  <sheetFormatPr defaultRowHeight="14.25" x14ac:dyDescent="0.45"/>
  <cols>
    <col min="1" max="1" width="50.59765625" customWidth="1"/>
    <col min="2" max="2" width="25.9296875" style="5" bestFit="1" customWidth="1"/>
  </cols>
  <sheetData>
    <row r="1" spans="1:2" ht="15.4" x14ac:dyDescent="0.45">
      <c r="A1" t="s">
        <v>43</v>
      </c>
      <c r="B1" s="1" t="s">
        <v>116</v>
      </c>
    </row>
    <row r="2" spans="1:2" ht="15.4" x14ac:dyDescent="0.45">
      <c r="A2" t="s">
        <v>44</v>
      </c>
      <c r="B2" s="4">
        <f>10.75*10^-6</f>
        <v>1.0749999999999999E-5</v>
      </c>
    </row>
    <row r="3" spans="1:2" ht="15.4" x14ac:dyDescent="0.45">
      <c r="A3" t="s">
        <v>45</v>
      </c>
      <c r="B3" s="4">
        <f>10.75*10^-6</f>
        <v>1.0749999999999999E-5</v>
      </c>
    </row>
    <row r="4" spans="1:2" ht="15.4" x14ac:dyDescent="0.45">
      <c r="A4" t="s">
        <v>46</v>
      </c>
      <c r="B4" s="2">
        <f>8.1 * 10^-6</f>
        <v>8.0999999999999987E-6</v>
      </c>
    </row>
    <row r="5" spans="1:2" ht="15.4" x14ac:dyDescent="0.45">
      <c r="A5" t="s">
        <v>55</v>
      </c>
      <c r="B5" s="2">
        <f>8*10^-6</f>
        <v>7.9999999999999996E-6</v>
      </c>
    </row>
    <row r="6" spans="1:2" ht="15.4" x14ac:dyDescent="0.45">
      <c r="A6" t="s">
        <v>47</v>
      </c>
      <c r="B6" s="2">
        <f>13.04*10^-6</f>
        <v>1.3039999999999999E-5</v>
      </c>
    </row>
    <row r="7" spans="1:2" ht="15.4" x14ac:dyDescent="0.45">
      <c r="A7" t="s">
        <v>56</v>
      </c>
      <c r="B7" s="4">
        <f>9.59*10^-6</f>
        <v>9.5899999999999997E-6</v>
      </c>
    </row>
    <row r="8" spans="1:2" ht="15.4" x14ac:dyDescent="0.45">
      <c r="A8" t="s">
        <v>57</v>
      </c>
      <c r="B8" s="4">
        <f>10.06*10^-6</f>
        <v>1.006E-5</v>
      </c>
    </row>
    <row r="9" spans="1:2" ht="15.4" x14ac:dyDescent="0.45">
      <c r="A9" t="s">
        <v>58</v>
      </c>
      <c r="B9" s="4">
        <f>10.79*10^-6</f>
        <v>1.0789999999999998E-5</v>
      </c>
    </row>
    <row r="10" spans="1:2" ht="15.4" x14ac:dyDescent="0.45">
      <c r="A10" t="s">
        <v>0</v>
      </c>
      <c r="B10" s="4">
        <f>10.9*10^-6</f>
        <v>1.0900000000000001E-5</v>
      </c>
    </row>
    <row r="11" spans="1:2" ht="15.4" x14ac:dyDescent="0.45">
      <c r="A11" t="s">
        <v>59</v>
      </c>
      <c r="B11" s="2">
        <f>11.19*10^-6</f>
        <v>1.119E-5</v>
      </c>
    </row>
    <row r="12" spans="1:2" ht="15.4" x14ac:dyDescent="0.45">
      <c r="A12" t="s">
        <v>60</v>
      </c>
      <c r="B12" s="2">
        <f>11.08*10^-6</f>
        <v>1.1079999999999999E-5</v>
      </c>
    </row>
    <row r="13" spans="1:2" ht="15.4" x14ac:dyDescent="0.45">
      <c r="A13" t="s">
        <v>61</v>
      </c>
      <c r="B13" s="2">
        <f>10.84*10^-6</f>
        <v>1.084E-5</v>
      </c>
    </row>
    <row r="14" spans="1:2" ht="15.4" x14ac:dyDescent="0.45">
      <c r="A14" t="s">
        <v>62</v>
      </c>
      <c r="B14" s="2">
        <f>11.38*10^-6</f>
        <v>1.1379999999999999E-5</v>
      </c>
    </row>
    <row r="15" spans="1:2" ht="15.4" x14ac:dyDescent="0.45">
      <c r="A15" t="s">
        <v>63</v>
      </c>
      <c r="B15" s="4">
        <f>10.3*10^-6</f>
        <v>1.03E-5</v>
      </c>
    </row>
    <row r="16" spans="1:2" ht="15.4" x14ac:dyDescent="0.45">
      <c r="A16" t="s">
        <v>64</v>
      </c>
      <c r="B16" s="4">
        <f>11.58*10^-6</f>
        <v>1.1579999999999999E-5</v>
      </c>
    </row>
    <row r="17" spans="1:2" ht="15.4" x14ac:dyDescent="0.45">
      <c r="A17" t="s">
        <v>65</v>
      </c>
      <c r="B17" s="2">
        <f>9.02*10^-6</f>
        <v>9.0199999999999983E-6</v>
      </c>
    </row>
    <row r="18" spans="1:2" ht="15.4" x14ac:dyDescent="0.45">
      <c r="A18" t="s">
        <v>66</v>
      </c>
      <c r="B18" s="2">
        <f>11.52*10^-6</f>
        <v>1.152E-5</v>
      </c>
    </row>
    <row r="19" spans="1:2" ht="15.4" x14ac:dyDescent="0.45">
      <c r="A19" t="s">
        <v>67</v>
      </c>
      <c r="B19" s="3">
        <f>11.1*10^-6</f>
        <v>1.1099999999999999E-5</v>
      </c>
    </row>
    <row r="20" spans="1:2" ht="15.4" x14ac:dyDescent="0.45">
      <c r="A20" t="s">
        <v>68</v>
      </c>
      <c r="B20" s="2">
        <f>5.9*10^-6</f>
        <v>5.9000000000000003E-6</v>
      </c>
    </row>
    <row r="21" spans="1:2" ht="15.4" x14ac:dyDescent="0.45">
      <c r="A21" t="s">
        <v>11</v>
      </c>
      <c r="B21" s="2">
        <f>6.8*10^-6</f>
        <v>6.7999999999999993E-6</v>
      </c>
    </row>
    <row r="22" spans="1:2" ht="15.4" x14ac:dyDescent="0.45">
      <c r="A22" t="s">
        <v>69</v>
      </c>
      <c r="B22" s="2">
        <f>6.8*10^-6</f>
        <v>6.7999999999999993E-6</v>
      </c>
    </row>
    <row r="23" spans="1:2" ht="15.4" x14ac:dyDescent="0.45">
      <c r="A23" t="s">
        <v>70</v>
      </c>
      <c r="B23" s="2">
        <f>6.5*10^-6</f>
        <v>6.4999999999999996E-6</v>
      </c>
    </row>
    <row r="24" spans="1:2" ht="15.4" x14ac:dyDescent="0.45">
      <c r="A24" t="s">
        <v>71</v>
      </c>
      <c r="B24" s="2">
        <f>6.5*10^-6</f>
        <v>6.4999999999999996E-6</v>
      </c>
    </row>
    <row r="25" spans="1:2" ht="15.4" x14ac:dyDescent="0.45">
      <c r="A25" t="s">
        <v>72</v>
      </c>
      <c r="B25" s="2">
        <f>6.5*10^-6</f>
        <v>6.4999999999999996E-6</v>
      </c>
    </row>
    <row r="26" spans="1:2" ht="15.4" x14ac:dyDescent="0.45">
      <c r="A26" t="s">
        <v>12</v>
      </c>
      <c r="B26" s="2">
        <f>6.9*10^-6</f>
        <v>6.9E-6</v>
      </c>
    </row>
    <row r="27" spans="1:2" ht="15.4" x14ac:dyDescent="0.45">
      <c r="A27" t="s">
        <v>73</v>
      </c>
      <c r="B27" s="2">
        <f>6.7*10^-6</f>
        <v>6.7000000000000002E-6</v>
      </c>
    </row>
    <row r="28" spans="1:2" ht="15.4" x14ac:dyDescent="0.45">
      <c r="A28" t="s">
        <v>74</v>
      </c>
      <c r="B28" s="2">
        <f>6.6*10^-6</f>
        <v>6.5999999999999995E-6</v>
      </c>
    </row>
    <row r="29" spans="1:2" ht="15.4" x14ac:dyDescent="0.45">
      <c r="A29" t="s">
        <v>75</v>
      </c>
      <c r="B29" s="2">
        <f>7*10^-6</f>
        <v>6.9999999999999999E-6</v>
      </c>
    </row>
    <row r="30" spans="1:2" ht="15.4" x14ac:dyDescent="0.45">
      <c r="A30" t="s">
        <v>76</v>
      </c>
      <c r="B30" s="2">
        <f>6.9*10^-6</f>
        <v>6.9E-6</v>
      </c>
    </row>
    <row r="31" spans="1:2" ht="15.4" x14ac:dyDescent="0.45">
      <c r="A31" t="s">
        <v>77</v>
      </c>
      <c r="B31" s="2">
        <f>11.5*10^-6</f>
        <v>1.15E-5</v>
      </c>
    </row>
    <row r="32" spans="1:2" ht="15.4" x14ac:dyDescent="0.45">
      <c r="A32" t="s">
        <v>78</v>
      </c>
      <c r="B32" s="2">
        <f>10.5*10^-6</f>
        <v>1.0499999999999999E-5</v>
      </c>
    </row>
    <row r="33" spans="1:2" ht="15.4" x14ac:dyDescent="0.45">
      <c r="A33" t="s">
        <v>79</v>
      </c>
      <c r="B33" s="2">
        <f>11*10^-6</f>
        <v>1.1E-5</v>
      </c>
    </row>
    <row r="34" spans="1:2" ht="15.4" x14ac:dyDescent="0.45">
      <c r="A34" t="s">
        <v>80</v>
      </c>
      <c r="B34" s="2">
        <f>10*10^-6</f>
        <v>9.9999999999999991E-6</v>
      </c>
    </row>
    <row r="35" spans="1:2" ht="15.4" x14ac:dyDescent="0.45">
      <c r="A35" t="s">
        <v>81</v>
      </c>
      <c r="B35" s="2">
        <f>7*10^-6</f>
        <v>6.9999999999999999E-6</v>
      </c>
    </row>
    <row r="36" spans="1:2" ht="15.4" x14ac:dyDescent="0.45">
      <c r="A36" t="s">
        <v>82</v>
      </c>
      <c r="B36" s="2">
        <f>10*10^-6</f>
        <v>9.9999999999999991E-6</v>
      </c>
    </row>
    <row r="37" spans="1:2" ht="15.4" x14ac:dyDescent="0.45">
      <c r="A37" t="s">
        <v>1</v>
      </c>
      <c r="B37" s="2">
        <f>7.93*10^-6</f>
        <v>7.9299999999999986E-6</v>
      </c>
    </row>
    <row r="38" spans="1:2" ht="15.4" x14ac:dyDescent="0.45">
      <c r="A38" t="s">
        <v>2</v>
      </c>
      <c r="B38" s="2">
        <f>9.46*10^-6</f>
        <v>9.4600000000000009E-6</v>
      </c>
    </row>
    <row r="39" spans="1:2" ht="15.4" x14ac:dyDescent="0.45">
      <c r="A39" t="s">
        <v>83</v>
      </c>
      <c r="B39" s="3">
        <f>9.04*10^-6</f>
        <v>9.0399999999999982E-6</v>
      </c>
    </row>
    <row r="40" spans="1:2" ht="15.4" x14ac:dyDescent="0.45">
      <c r="A40" t="s">
        <v>84</v>
      </c>
      <c r="B40" s="2">
        <f>9.43*10^-6</f>
        <v>9.4299999999999995E-6</v>
      </c>
    </row>
    <row r="41" spans="1:2" ht="15.4" x14ac:dyDescent="0.45">
      <c r="A41" t="s">
        <v>98</v>
      </c>
      <c r="B41" s="2">
        <f>11.04*10^-6</f>
        <v>1.1039999999999999E-5</v>
      </c>
    </row>
    <row r="42" spans="1:2" ht="15.4" x14ac:dyDescent="0.45">
      <c r="A42" t="s">
        <v>99</v>
      </c>
      <c r="B42" s="2">
        <f>11.91*10^-6</f>
        <v>1.1909999999999999E-5</v>
      </c>
    </row>
    <row r="43" spans="1:2" ht="15.4" x14ac:dyDescent="0.45">
      <c r="A43" t="s">
        <v>100</v>
      </c>
      <c r="B43" s="2">
        <f>12.68*10^-6</f>
        <v>1.2679999999999999E-5</v>
      </c>
    </row>
    <row r="44" spans="1:2" ht="15.4" x14ac:dyDescent="0.45">
      <c r="A44" t="s">
        <v>101</v>
      </c>
      <c r="B44" s="2">
        <f>12.71*10^-6</f>
        <v>1.271E-5</v>
      </c>
    </row>
    <row r="45" spans="1:2" ht="15.4" x14ac:dyDescent="0.45">
      <c r="A45" t="s">
        <v>102</v>
      </c>
      <c r="B45" s="2">
        <f>13.12*10^-6</f>
        <v>1.3119999999999998E-5</v>
      </c>
    </row>
    <row r="46" spans="1:2" ht="15.4" x14ac:dyDescent="0.45">
      <c r="A46" t="s">
        <v>103</v>
      </c>
      <c r="B46" s="2">
        <f>8.5*10^-6</f>
        <v>8.4999999999999999E-6</v>
      </c>
    </row>
    <row r="47" spans="1:2" ht="15.4" x14ac:dyDescent="0.45">
      <c r="A47" t="s">
        <v>104</v>
      </c>
      <c r="B47" s="2">
        <f>9*10^-6</f>
        <v>9.0000000000000002E-6</v>
      </c>
    </row>
    <row r="48" spans="1:2" ht="15.4" x14ac:dyDescent="0.45">
      <c r="A48" t="s">
        <v>105</v>
      </c>
      <c r="B48" s="2">
        <f>10.5*10^-6</f>
        <v>1.0499999999999999E-5</v>
      </c>
    </row>
    <row r="49" spans="1:2" ht="15.4" x14ac:dyDescent="0.45">
      <c r="A49" t="s">
        <v>106</v>
      </c>
      <c r="B49" s="2">
        <f>11.5*10^-6</f>
        <v>1.15E-5</v>
      </c>
    </row>
    <row r="50" spans="1:2" ht="15.4" x14ac:dyDescent="0.45">
      <c r="A50" t="s">
        <v>107</v>
      </c>
      <c r="B50" s="2">
        <f>12.5*10^-6</f>
        <v>1.2499999999999999E-5</v>
      </c>
    </row>
    <row r="51" spans="1:2" ht="15.4" x14ac:dyDescent="0.45">
      <c r="A51" t="s">
        <v>13</v>
      </c>
      <c r="B51" s="2">
        <f>16.5*10^-6</f>
        <v>1.6499999999999998E-5</v>
      </c>
    </row>
    <row r="52" spans="1:2" ht="15.4" x14ac:dyDescent="0.45">
      <c r="A52" t="s">
        <v>108</v>
      </c>
      <c r="B52" s="2">
        <f>11.69*10^-6</f>
        <v>1.1689999999999998E-5</v>
      </c>
    </row>
    <row r="53" spans="1:2" ht="15.4" x14ac:dyDescent="0.45">
      <c r="A53" t="s">
        <v>109</v>
      </c>
      <c r="B53" s="2">
        <f>10.5*10^-6</f>
        <v>1.0499999999999999E-5</v>
      </c>
    </row>
    <row r="54" spans="1:2" ht="15.4" x14ac:dyDescent="0.45">
      <c r="A54" t="s">
        <v>110</v>
      </c>
      <c r="B54" s="2">
        <f>12.9*10^-6</f>
        <v>1.29E-5</v>
      </c>
    </row>
    <row r="55" spans="1:2" ht="15.4" x14ac:dyDescent="0.45">
      <c r="A55" t="s">
        <v>115</v>
      </c>
      <c r="B55" s="2">
        <f>12.6*10^-6</f>
        <v>1.26E-5</v>
      </c>
    </row>
    <row r="56" spans="1:2" ht="15.4" x14ac:dyDescent="0.45">
      <c r="A56" t="s">
        <v>111</v>
      </c>
      <c r="B56" s="2">
        <f>10.72*10^-6</f>
        <v>1.0720000000000001E-5</v>
      </c>
    </row>
    <row r="57" spans="1:2" ht="15.4" x14ac:dyDescent="0.45">
      <c r="A57" t="s">
        <v>112</v>
      </c>
      <c r="B57" s="2">
        <f>11.41*10^-6</f>
        <v>1.1409999999999999E-5</v>
      </c>
    </row>
    <row r="58" spans="1:2" ht="15.4" x14ac:dyDescent="0.45">
      <c r="A58" t="s">
        <v>113</v>
      </c>
      <c r="B58" s="2">
        <f>11.2*10^-6</f>
        <v>1.1199999999999999E-5</v>
      </c>
    </row>
    <row r="59" spans="1:2" ht="15.4" x14ac:dyDescent="0.45">
      <c r="A59" t="s">
        <v>114</v>
      </c>
      <c r="B59" s="2">
        <f>11.69*10^-6</f>
        <v>1.1689999999999998E-5</v>
      </c>
    </row>
    <row r="60" spans="1:2" ht="15.4" x14ac:dyDescent="0.45">
      <c r="A60" t="s">
        <v>85</v>
      </c>
      <c r="B60" s="2">
        <f>14.6*10^-6</f>
        <v>1.4599999999999999E-5</v>
      </c>
    </row>
    <row r="61" spans="1:2" ht="15.4" x14ac:dyDescent="0.45">
      <c r="A61" t="s">
        <v>86</v>
      </c>
      <c r="B61" s="2">
        <f>15*10^-6</f>
        <v>1.4999999999999999E-5</v>
      </c>
    </row>
    <row r="62" spans="1:2" ht="15.4" x14ac:dyDescent="0.45">
      <c r="A62" t="s">
        <v>87</v>
      </c>
      <c r="B62" s="2">
        <f>14.7*10^-6</f>
        <v>1.4699999999999998E-5</v>
      </c>
    </row>
    <row r="63" spans="1:2" ht="15.4" x14ac:dyDescent="0.45">
      <c r="A63" t="s">
        <v>88</v>
      </c>
      <c r="B63" s="2">
        <f>15.2*10^-6</f>
        <v>1.5199999999999998E-5</v>
      </c>
    </row>
    <row r="64" spans="1:2" ht="15.4" x14ac:dyDescent="0.45">
      <c r="A64" t="s">
        <v>89</v>
      </c>
      <c r="B64" s="2">
        <f>14.8*10^-6</f>
        <v>1.4800000000000001E-5</v>
      </c>
    </row>
    <row r="65" spans="1:2" ht="15.4" x14ac:dyDescent="0.45">
      <c r="A65" t="s">
        <v>90</v>
      </c>
      <c r="B65" s="2">
        <f>9.78*10^-6</f>
        <v>9.7799999999999995E-6</v>
      </c>
    </row>
    <row r="66" spans="1:2" ht="15.4" x14ac:dyDescent="0.45">
      <c r="A66" t="s">
        <v>91</v>
      </c>
      <c r="B66" s="2">
        <f>9.61*10^-6</f>
        <v>9.6099999999999995E-6</v>
      </c>
    </row>
    <row r="67" spans="1:2" ht="15.4" x14ac:dyDescent="0.45">
      <c r="A67" t="s">
        <v>92</v>
      </c>
      <c r="B67" s="2">
        <f>11*10^-6</f>
        <v>1.1E-5</v>
      </c>
    </row>
    <row r="68" spans="1:2" ht="15.4" x14ac:dyDescent="0.45">
      <c r="A68" t="s">
        <v>93</v>
      </c>
      <c r="B68" s="2">
        <f>10.5*10^-6</f>
        <v>1.0499999999999999E-5</v>
      </c>
    </row>
    <row r="69" spans="1:2" ht="15.4" x14ac:dyDescent="0.45">
      <c r="A69" t="s">
        <v>94</v>
      </c>
      <c r="B69" s="2">
        <f>10.5*10^-6</f>
        <v>1.0499999999999999E-5</v>
      </c>
    </row>
    <row r="70" spans="1:2" ht="15.4" x14ac:dyDescent="0.45">
      <c r="A70" t="s">
        <v>51</v>
      </c>
      <c r="B70" s="2">
        <f>10.56*10^-6</f>
        <v>1.0560000000000001E-5</v>
      </c>
    </row>
    <row r="71" spans="1:2" ht="15.4" x14ac:dyDescent="0.45">
      <c r="A71" t="s">
        <v>97</v>
      </c>
      <c r="B71" s="3">
        <v>1.076E-5</v>
      </c>
    </row>
    <row r="72" spans="1:2" ht="15.4" x14ac:dyDescent="0.45">
      <c r="A72" t="s">
        <v>96</v>
      </c>
      <c r="B72" s="3">
        <v>1.0360000000000001E-5</v>
      </c>
    </row>
    <row r="73" spans="1:2" ht="15.4" x14ac:dyDescent="0.45">
      <c r="A73" t="s">
        <v>95</v>
      </c>
      <c r="B73" s="3">
        <v>1.0869999999999999E-5</v>
      </c>
    </row>
    <row r="74" spans="1:2" ht="15.4" x14ac:dyDescent="0.45">
      <c r="A74" t="s">
        <v>54</v>
      </c>
      <c r="B74" s="3">
        <v>1.0349999999999999E-5</v>
      </c>
    </row>
    <row r="75" spans="1:2" ht="15.4" x14ac:dyDescent="0.45">
      <c r="A75" t="s">
        <v>14</v>
      </c>
      <c r="B75" s="3">
        <v>1.063E-5</v>
      </c>
    </row>
    <row r="76" spans="1:2" ht="15.4" x14ac:dyDescent="0.45">
      <c r="A76" t="s">
        <v>15</v>
      </c>
      <c r="B76" s="2">
        <v>1.028E-5</v>
      </c>
    </row>
    <row r="77" spans="1:2" ht="15.4" x14ac:dyDescent="0.45">
      <c r="A77" t="s">
        <v>53</v>
      </c>
      <c r="B77" s="3">
        <v>1.031E-5</v>
      </c>
    </row>
    <row r="78" spans="1:2" ht="15.4" x14ac:dyDescent="0.45">
      <c r="A78" t="s">
        <v>52</v>
      </c>
      <c r="B78" s="3">
        <v>1.1070000000000001E-5</v>
      </c>
    </row>
    <row r="79" spans="1:2" ht="15.4" x14ac:dyDescent="0.45">
      <c r="A79" t="s">
        <v>51</v>
      </c>
      <c r="B79" s="3">
        <v>1.0560000000000001E-5</v>
      </c>
    </row>
    <row r="80" spans="1:2" ht="15.4" x14ac:dyDescent="0.45">
      <c r="A80" t="s">
        <v>16</v>
      </c>
      <c r="B80" s="2">
        <f>0.9*10^-6</f>
        <v>8.9999999999999996E-7</v>
      </c>
    </row>
    <row r="81" spans="1:2" ht="15.4" x14ac:dyDescent="0.45">
      <c r="A81" t="s">
        <v>17</v>
      </c>
      <c r="B81" s="2">
        <f>-6.2*10^-6</f>
        <v>-6.1999999999999999E-6</v>
      </c>
    </row>
    <row r="82" spans="1:2" ht="15.4" x14ac:dyDescent="0.45">
      <c r="A82" t="s">
        <v>18</v>
      </c>
      <c r="B82" s="2">
        <f>1.4*10^-6</f>
        <v>1.3999999999999999E-6</v>
      </c>
    </row>
    <row r="83" spans="1:2" ht="15.4" x14ac:dyDescent="0.45">
      <c r="A83" t="s">
        <v>19</v>
      </c>
      <c r="B83" s="2">
        <f>0.3*10^-6</f>
        <v>2.9999999999999999E-7</v>
      </c>
    </row>
    <row r="84" spans="1:2" ht="15.4" x14ac:dyDescent="0.45">
      <c r="A84" t="s">
        <v>20</v>
      </c>
      <c r="B84" s="2">
        <f>2*10^-6</f>
        <v>1.9999999999999999E-6</v>
      </c>
    </row>
    <row r="85" spans="1:2" ht="15.4" x14ac:dyDescent="0.45">
      <c r="A85" t="s">
        <v>21</v>
      </c>
      <c r="B85" s="2">
        <f>-0.4*10^-6</f>
        <v>-3.9999999999999998E-7</v>
      </c>
    </row>
    <row r="86" spans="1:2" ht="15.4" x14ac:dyDescent="0.45">
      <c r="A86" t="s">
        <v>22</v>
      </c>
      <c r="B86" s="2">
        <f>-0.16*10^-6</f>
        <v>-1.6E-7</v>
      </c>
    </row>
    <row r="87" spans="1:2" ht="15.4" x14ac:dyDescent="0.45">
      <c r="A87" t="s">
        <v>23</v>
      </c>
      <c r="B87" s="2">
        <f>0.51*10^-6</f>
        <v>5.0999999999999999E-7</v>
      </c>
    </row>
    <row r="88" spans="1:2" ht="15.4" x14ac:dyDescent="0.45">
      <c r="A88" t="s">
        <v>24</v>
      </c>
      <c r="B88" s="2">
        <f>0.435*10^-6</f>
        <v>4.3499999999999996E-7</v>
      </c>
    </row>
    <row r="89" spans="1:2" ht="15.4" x14ac:dyDescent="0.45">
      <c r="A89" t="s">
        <v>25</v>
      </c>
      <c r="B89" s="2">
        <f>-0.55*10^-6</f>
        <v>-5.5000000000000003E-7</v>
      </c>
    </row>
    <row r="90" spans="1:2" ht="15.4" x14ac:dyDescent="0.45">
      <c r="A90" t="s">
        <v>26</v>
      </c>
      <c r="B90" s="2">
        <f>0.53*10^-6</f>
        <v>5.3000000000000001E-7</v>
      </c>
    </row>
    <row r="91" spans="1:2" ht="15.4" x14ac:dyDescent="0.45">
      <c r="A91" t="s">
        <v>27</v>
      </c>
      <c r="B91" s="2">
        <f>0.32*10^-6</f>
        <v>3.2000000000000001E-7</v>
      </c>
    </row>
    <row r="92" spans="1:2" ht="15.4" x14ac:dyDescent="0.45">
      <c r="A92" t="s">
        <v>28</v>
      </c>
      <c r="B92" s="2">
        <f>0.34*10^-6</f>
        <v>3.4000000000000003E-7</v>
      </c>
    </row>
    <row r="93" spans="1:2" ht="15.4" x14ac:dyDescent="0.45">
      <c r="A93" t="s">
        <v>29</v>
      </c>
      <c r="B93" s="2">
        <f>0.63*10^-6</f>
        <v>6.3E-7</v>
      </c>
    </row>
    <row r="94" spans="1:2" ht="15.4" x14ac:dyDescent="0.45">
      <c r="A94" t="s">
        <v>30</v>
      </c>
      <c r="B94" s="2">
        <f>0.4*10^-6</f>
        <v>3.9999999999999998E-7</v>
      </c>
    </row>
    <row r="95" spans="1:2" ht="15.4" x14ac:dyDescent="0.45">
      <c r="A95" t="s">
        <v>31</v>
      </c>
      <c r="B95" s="2">
        <f>0.05*10^-6</f>
        <v>4.9999999999999998E-8</v>
      </c>
    </row>
    <row r="96" spans="1:2" ht="15.4" x14ac:dyDescent="0.45">
      <c r="A96" t="s">
        <v>32</v>
      </c>
      <c r="B96" s="2">
        <f>0.06*10^-6</f>
        <v>5.9999999999999995E-8</v>
      </c>
    </row>
    <row r="97" spans="1:2" ht="15.4" x14ac:dyDescent="0.45">
      <c r="A97" t="s">
        <v>33</v>
      </c>
      <c r="B97" s="2">
        <f>0.14*10^-6</f>
        <v>1.4000000000000001E-7</v>
      </c>
    </row>
    <row r="98" spans="1:2" ht="15.4" x14ac:dyDescent="0.45">
      <c r="A98" t="s">
        <v>34</v>
      </c>
      <c r="B98" s="2">
        <f>0.25*10^-6</f>
        <v>2.4999999999999999E-7</v>
      </c>
    </row>
    <row r="99" spans="1:2" ht="15.4" x14ac:dyDescent="0.45">
      <c r="A99" t="s">
        <v>35</v>
      </c>
      <c r="B99" s="2">
        <f>0.3*10^-6</f>
        <v>2.9999999999999999E-7</v>
      </c>
    </row>
    <row r="100" spans="1:2" ht="15.4" x14ac:dyDescent="0.45">
      <c r="A100" t="s">
        <v>36</v>
      </c>
      <c r="B100" s="2">
        <f>2.21*10^-6</f>
        <v>2.21E-6</v>
      </c>
    </row>
    <row r="101" spans="1:2" ht="15.4" x14ac:dyDescent="0.45">
      <c r="A101" t="s">
        <v>37</v>
      </c>
      <c r="B101" s="2">
        <f>1.95*10^-6</f>
        <v>1.95E-6</v>
      </c>
    </row>
    <row r="102" spans="1:2" ht="15.4" x14ac:dyDescent="0.45">
      <c r="A102" t="s">
        <v>38</v>
      </c>
      <c r="B102" s="2">
        <f>1.27*10^-6</f>
        <v>1.2699999999999999E-6</v>
      </c>
    </row>
    <row r="103" spans="1:2" ht="15.4" x14ac:dyDescent="0.45">
      <c r="A103" t="s">
        <v>39</v>
      </c>
      <c r="B103" s="2">
        <f>0.5*10^-6</f>
        <v>4.9999999999999998E-7</v>
      </c>
    </row>
    <row r="104" spans="1:2" ht="15.4" x14ac:dyDescent="0.45">
      <c r="A104" t="s">
        <v>3</v>
      </c>
      <c r="B104" s="2">
        <f>14*10^-6</f>
        <v>1.4E-5</v>
      </c>
    </row>
    <row r="105" spans="1:2" ht="15.4" x14ac:dyDescent="0.45">
      <c r="A105" t="s">
        <v>4</v>
      </c>
      <c r="B105" s="2">
        <f>10*10^-6</f>
        <v>9.9999999999999991E-6</v>
      </c>
    </row>
    <row r="106" spans="1:2" ht="15.4" x14ac:dyDescent="0.45">
      <c r="A106" t="s">
        <v>5</v>
      </c>
      <c r="B106" s="2">
        <f>10*10^-6</f>
        <v>9.9999999999999991E-6</v>
      </c>
    </row>
    <row r="107" spans="1:2" ht="15.4" x14ac:dyDescent="0.45">
      <c r="A107" t="s">
        <v>6</v>
      </c>
      <c r="B107" s="2">
        <f>10*10^-6</f>
        <v>9.9999999999999991E-6</v>
      </c>
    </row>
    <row r="108" spans="1:2" ht="15.4" x14ac:dyDescent="0.45">
      <c r="A108" t="s">
        <v>40</v>
      </c>
      <c r="B108" s="2">
        <f>12*10^-6</f>
        <v>1.2E-5</v>
      </c>
    </row>
    <row r="109" spans="1:2" ht="15.4" x14ac:dyDescent="0.45">
      <c r="A109" t="s">
        <v>7</v>
      </c>
      <c r="B109" s="2">
        <f t="shared" ref="B109:B110" si="0">12*10^-6</f>
        <v>1.2E-5</v>
      </c>
    </row>
    <row r="110" spans="1:2" ht="15.4" x14ac:dyDescent="0.45">
      <c r="A110" t="s">
        <v>8</v>
      </c>
      <c r="B110" s="2">
        <f t="shared" si="0"/>
        <v>1.2E-5</v>
      </c>
    </row>
    <row r="111" spans="1:2" ht="15.4" x14ac:dyDescent="0.45">
      <c r="A111" t="s">
        <v>9</v>
      </c>
      <c r="B111" s="2">
        <f>12*10^-6</f>
        <v>1.2E-5</v>
      </c>
    </row>
    <row r="112" spans="1:2" ht="15.4" x14ac:dyDescent="0.45">
      <c r="A112" t="s">
        <v>41</v>
      </c>
      <c r="B112" s="2">
        <f>33*10^-6</f>
        <v>3.2999999999999996E-5</v>
      </c>
    </row>
    <row r="113" spans="1:3" ht="15.4" x14ac:dyDescent="0.45">
      <c r="A113" t="s">
        <v>48</v>
      </c>
      <c r="B113" s="2">
        <f>9.28*10^-6</f>
        <v>9.2799999999999992E-6</v>
      </c>
    </row>
    <row r="114" spans="1:3" ht="15.4" x14ac:dyDescent="0.45">
      <c r="A114" t="s">
        <v>42</v>
      </c>
      <c r="B114" s="2">
        <f>7.83*10^-6</f>
        <v>7.8299999999999996E-6</v>
      </c>
    </row>
    <row r="115" spans="1:3" ht="15.4" x14ac:dyDescent="0.45">
      <c r="A115" t="s">
        <v>49</v>
      </c>
      <c r="B115" s="2">
        <f>8.54*10^-6</f>
        <v>8.5399999999999996E-6</v>
      </c>
    </row>
    <row r="116" spans="1:3" ht="15.4" x14ac:dyDescent="0.45">
      <c r="A116" t="s">
        <v>50</v>
      </c>
      <c r="B116" s="2">
        <f>4.95*10^-6</f>
        <v>4.95E-6</v>
      </c>
    </row>
    <row r="117" spans="1:3" ht="15.4" x14ac:dyDescent="0.45">
      <c r="A117" t="s">
        <v>10</v>
      </c>
      <c r="B117" s="2">
        <f>8.51*10^-6</f>
        <v>8.5099999999999998E-6</v>
      </c>
    </row>
    <row r="118" spans="1:3" x14ac:dyDescent="0.45">
      <c r="B118"/>
      <c r="C118" s="6"/>
    </row>
    <row r="119" spans="1:3" x14ac:dyDescent="0.45">
      <c r="A119" s="7"/>
      <c r="B119"/>
      <c r="C119" s="6"/>
    </row>
    <row r="120" spans="1:3" x14ac:dyDescent="0.45">
      <c r="A120" s="8"/>
      <c r="B120"/>
      <c r="C120" s="6"/>
    </row>
    <row r="121" spans="1:3" x14ac:dyDescent="0.45">
      <c r="A121" s="9"/>
      <c r="B121"/>
      <c r="C121" s="6"/>
    </row>
    <row r="122" spans="1:3" x14ac:dyDescent="0.45">
      <c r="A122" s="9"/>
      <c r="B122"/>
      <c r="C122" s="6"/>
    </row>
    <row r="123" spans="1:3" x14ac:dyDescent="0.45">
      <c r="A123" s="9"/>
      <c r="B123"/>
      <c r="C123" s="6"/>
    </row>
    <row r="124" spans="1:3" x14ac:dyDescent="0.45">
      <c r="A124" s="10"/>
      <c r="B124"/>
      <c r="C124" s="6"/>
    </row>
    <row r="125" spans="1:3" x14ac:dyDescent="0.45">
      <c r="A125" s="10"/>
      <c r="B125"/>
      <c r="C125" s="6"/>
    </row>
    <row r="126" spans="1:3" x14ac:dyDescent="0.45">
      <c r="A126" s="10"/>
      <c r="B126"/>
      <c r="C126" s="6"/>
    </row>
    <row r="127" spans="1:3" x14ac:dyDescent="0.45">
      <c r="A127" s="9"/>
      <c r="B127"/>
      <c r="C127" s="6"/>
    </row>
    <row r="128" spans="1:3" x14ac:dyDescent="0.45">
      <c r="A128" s="9"/>
      <c r="B128"/>
      <c r="C128" s="6"/>
    </row>
    <row r="129" spans="1:3" x14ac:dyDescent="0.45">
      <c r="A129" s="9"/>
      <c r="B129"/>
      <c r="C129" s="6"/>
    </row>
    <row r="130" spans="1:3" x14ac:dyDescent="0.45">
      <c r="C130" s="6"/>
    </row>
    <row r="131" spans="1:3" x14ac:dyDescent="0.45">
      <c r="C131" s="6"/>
    </row>
    <row r="132" spans="1:3" x14ac:dyDescent="0.45">
      <c r="C132" s="6"/>
    </row>
    <row r="133" spans="1:3" x14ac:dyDescent="0.45">
      <c r="C133" s="6"/>
    </row>
    <row r="134" spans="1:3" x14ac:dyDescent="0.45">
      <c r="C134" s="6"/>
    </row>
    <row r="135" spans="1:3" x14ac:dyDescent="0.45">
      <c r="C135" s="6"/>
    </row>
    <row r="136" spans="1:3" x14ac:dyDescent="0.45">
      <c r="C136" s="6"/>
    </row>
    <row r="137" spans="1:3" x14ac:dyDescent="0.45">
      <c r="C137" s="6"/>
    </row>
    <row r="138" spans="1:3" x14ac:dyDescent="0.45">
      <c r="C138" s="6"/>
    </row>
    <row r="139" spans="1:3" x14ac:dyDescent="0.45">
      <c r="C139" s="6"/>
    </row>
    <row r="140" spans="1:3" x14ac:dyDescent="0.45">
      <c r="C140" s="6"/>
    </row>
    <row r="141" spans="1:3" x14ac:dyDescent="0.45">
      <c r="C141" s="6"/>
    </row>
    <row r="142" spans="1:3" x14ac:dyDescent="0.45">
      <c r="C142" s="6"/>
    </row>
    <row r="143" spans="1:3" x14ac:dyDescent="0.45">
      <c r="C143" s="6"/>
    </row>
    <row r="144" spans="1:3" x14ac:dyDescent="0.45">
      <c r="C144" s="6"/>
    </row>
    <row r="145" spans="3:3" x14ac:dyDescent="0.45">
      <c r="C145" s="6"/>
    </row>
    <row r="146" spans="3:3" x14ac:dyDescent="0.45">
      <c r="C146" s="6"/>
    </row>
    <row r="147" spans="3:3" x14ac:dyDescent="0.45">
      <c r="C147" s="6"/>
    </row>
    <row r="148" spans="3:3" x14ac:dyDescent="0.45">
      <c r="C148" s="6"/>
    </row>
    <row r="149" spans="3:3" x14ac:dyDescent="0.45">
      <c r="C149" s="6"/>
    </row>
    <row r="150" spans="3:3" x14ac:dyDescent="0.45">
      <c r="C150" s="6"/>
    </row>
    <row r="151" spans="3:3" x14ac:dyDescent="0.45">
      <c r="C151" s="6"/>
    </row>
    <row r="152" spans="3:3" x14ac:dyDescent="0.45">
      <c r="C1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Marshall, Jordan</dc:creator>
  <cp:lastModifiedBy>Marshall, Jordan</cp:lastModifiedBy>
  <dcterms:created xsi:type="dcterms:W3CDTF">2025-07-29T13:44:13Z</dcterms:created>
  <dcterms:modified xsi:type="dcterms:W3CDTF">2025-08-08T16:15:58Z</dcterms:modified>
</cp:coreProperties>
</file>